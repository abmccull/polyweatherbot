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odex"/>
  <workbookPr defaultThemeVersion="166925"/>
  <bookViews>
    <workbookView xWindow="0" yWindow="0" windowWidth="28800" windowHeight="17280"/>
  </bookViews>
  <sheets>
    <sheet name="Sources" sheetId="1" r:id="rId1"/>
    <sheet name="Buildings" sheetId="2" r:id="rId2"/>
    <sheet name="Resource Rates" sheetId="3" r:id="rId3"/>
    <sheet name="Envoys" sheetId="4" r:id="rId4"/>
    <sheet name="Pythia" sheetId="5" r:id="rId5"/>
    <sheet name="Reputation" sheetId="6" r:id="rId6"/>
    <sheet name="Rising Oracle" sheetId="7" r:id="rId7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>
      <alignment horizontal="center" vertical="center" wrapText="1"/>
    </xf>
    <xf numFmtId="0" fontId="1" fillId="3" borderId="0" xfId="0" applyFont="1" applyFill="1">
      <alignment wrapText="1"/>
    </xf>
    <xf numFmtId="0" fontId="0" fillId="0" borderId="0" xfId="0">
      <alignment wrapText="1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</sheetView>
  </sheetViews>
  <sheetFormatPr defaultRowHeight="15"/>
  <cols>
    <col min="1" max="1" width="16" customWidth="1"/>
    <col min="2" max="2" width="58" customWidth="1"/>
    <col min="3" max="3" width="52" customWidth="1"/>
    <col min="4" max="4" width="18" customWidth="1"/>
  </cols>
  <sheetData>
    <row r="1">
      <c r="A1" t="inlineStr" s="1">
        <is>
          <t xml:space="preserve">Category</t>
        </is>
      </c>
      <c r="B1" t="inlineStr" s="1">
        <is>
          <t xml:space="preserve">Detail</t>
        </is>
      </c>
      <c r="C1" t="inlineStr" s="1">
        <is>
          <t xml:space="preserve">Source</t>
        </is>
      </c>
      <c r="D1" t="inlineStr" s="1">
        <is>
          <t xml:space="preserve">Status</t>
        </is>
      </c>
    </row>
    <row r="2">
      <c r="A2" t="inlineStr">
        <is>
          <t xml:space="preserve">deliverable</t>
        </is>
      </c>
      <c r="B2" t="inlineStr">
        <is>
          <t xml:space="preserve">SHEET-1 balance workbook grounded in current repo and forward targets</t>
        </is>
      </c>
      <c r="C2" t="inlineStr">
        <is>
          <t xml:space="preserve">docs/parallel-implementation-plan.md</t>
        </is>
      </c>
      <c r="D2" t="inlineStr">
        <is>
          <t xml:space="preserve">required</t>
        </is>
      </c>
    </row>
    <row r="3">
      <c r="A3" t="inlineStr">
        <is>
          <t xml:space="preserve">content data</t>
        </is>
      </c>
      <c r="B3" t="inlineStr">
        <is>
          <t xml:space="preserve">building defs, resources, factions, scenario labels, consultation content</t>
        </is>
      </c>
      <c r="C3" t="inlineStr">
        <is>
          <t xml:space="preserve">packages/content/src/data.ts</t>
        </is>
      </c>
      <c r="D3" t="inlineStr">
        <is>
          <t xml:space="preserve">implemented</t>
        </is>
      </c>
    </row>
    <row r="4">
      <c r="A4" t="inlineStr">
        <is>
          <t xml:space="preserve">initial state</t>
        </is>
      </c>
      <c r="B4" t="inlineStr">
        <is>
          <t xml:space="preserve">base resources, starter Pythia, faction baselines</t>
        </is>
      </c>
      <c r="C4" t="inlineStr">
        <is>
          <t xml:space="preserve">packages/core/src/state/initialState.ts</t>
        </is>
      </c>
      <c r="D4" t="inlineStr">
        <is>
          <t xml:space="preserve">implemented</t>
        </is>
      </c>
    </row>
    <row r="5">
      <c r="A5" t="inlineStr">
        <is>
          <t xml:space="preserve">sim pacing</t>
        </is>
      </c>
      <c r="B5" t="inlineStr">
        <is>
          <t xml:space="preserve">resource flow, building processing, carriers, Pythia daily need gain</t>
        </is>
      </c>
      <c r="C5" t="inlineStr">
        <is>
          <t xml:space="preserve">packages/core/src/simulation/updateDay.ts</t>
        </is>
      </c>
      <c r="D5" t="inlineStr">
        <is>
          <t xml:space="preserve">implemented</t>
        </is>
      </c>
    </row>
    <row r="6">
      <c r="A6" t="inlineStr">
        <is>
          <t xml:space="preserve">consultation economics</t>
        </is>
      </c>
      <c r="B6" t="inlineStr">
        <is>
          <t xml:space="preserve">envoy payments, trade offers, observer reactions, consequence resolution</t>
        </is>
      </c>
      <c r="C6" t="inlineStr">
        <is>
          <t xml:space="preserve">packages/core/src/simulation/events.ts</t>
        </is>
      </c>
      <c r="D6" t="inlineStr">
        <is>
          <t xml:space="preserve">implemented</t>
        </is>
      </c>
    </row>
    <row r="7">
      <c r="A7" t="inlineStr">
        <is>
          <t xml:space="preserve">gap</t>
        </is>
      </c>
      <c r="B7" t="inlineStr">
        <is>
          <t xml:space="preserve">generic building upkeep is not applied uniformly in simulation</t>
        </is>
      </c>
      <c r="C7" t="inlineStr">
        <is>
          <t xml:space="preserve">packages/content/src/data.ts + packages/core/src/simulation/updateDay.ts</t>
        </is>
      </c>
      <c r="D7" t="inlineStr">
        <is>
          <t xml:space="preserve">open</t>
        </is>
      </c>
    </row>
    <row r="8">
      <c r="A8" t="inlineStr">
        <is>
          <t xml:space="preserve">gap</t>
        </is>
      </c>
      <c r="B8" t="inlineStr">
        <is>
          <t xml:space="preserve">reputation tiers, treasury dedication, crisis chains, and Rising Oracle pacing are not in code yet</t>
        </is>
      </c>
      <c r="C8" t="inlineStr">
        <is>
          <t xml:space="preserve">docs/parallel-implementation-plan.md</t>
        </is>
      </c>
      <c r="D8" t="inlineStr">
        <is>
          <t xml:space="preserve">proposed in workbook</t>
        </is>
      </c>
    </row>
    <row r="9">
      <c r="A9" t="inlineStr">
        <is>
          <t xml:space="preserve">caveat</t>
        </is>
      </c>
      <c r="B9" t="inlineStr">
        <is>
          <t xml:space="preserve">consultation open-mode sink rates only matter if the simulation keeps ticking while the consultation is open</t>
        </is>
      </c>
      <c r="C9" t="inlineStr">
        <is>
          <t xml:space="preserve">packages/core/src/reducers/index.ts + packages/core/src/simulation/updateDay.ts</t>
        </is>
      </c>
      <c r="D9" t="inlineStr">
        <is>
          <t xml:space="preserve">review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M1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8" customWidth="1"/>
    <col min="3" max="3" width="24" customWidth="1"/>
    <col min="4" max="4" width="10" customWidth="1"/>
    <col min="5" max="5" width="10" customWidth="1"/>
    <col min="6" max="6" width="12" customWidth="1"/>
    <col min="7" max="7" width="12" customWidth="1"/>
    <col min="8" max="8" width="26" customWidth="1"/>
    <col min="9" max="9" width="28" customWidth="1"/>
    <col min="10" max="10" width="24" customWidth="1"/>
    <col min="11" max="11" width="24" customWidth="1"/>
    <col min="12" max="12" width="24" customWidth="1"/>
    <col min="13" max="13" width="60" customWidth="1"/>
  </cols>
  <sheetData>
    <row r="1">
      <c r="A1" t="inlineStr" s="1">
        <is>
          <t xml:space="preserve">Status</t>
        </is>
      </c>
      <c r="B1" t="inlineStr" s="1">
        <is>
          <t xml:space="preserve">Building ID</t>
        </is>
      </c>
      <c r="C1" t="inlineStr" s="1">
        <is>
          <t xml:space="preserve">Name</t>
        </is>
      </c>
      <c r="D1" t="inlineStr" s="1">
        <is>
          <t xml:space="preserve">Priest?</t>
        </is>
      </c>
      <c r="E1" t="inlineStr" s="1">
        <is>
          <t xml:space="preserve">Max Cond</t>
        </is>
      </c>
      <c r="F1" t="inlineStr" s="1">
        <is>
          <t xml:space="preserve">Current Cost</t>
        </is>
      </c>
      <c r="G1" t="inlineStr" s="1">
        <is>
          <t xml:space="preserve">Target Cost</t>
        </is>
      </c>
      <c r="H1" t="inlineStr" s="1">
        <is>
          <t xml:space="preserve">Content Upkeep / Day</t>
        </is>
      </c>
      <c r="I1" t="inlineStr" s="1">
        <is>
          <t xml:space="preserve">Active Sim Upkeep / Day</t>
        </is>
      </c>
      <c r="J1" t="inlineStr" s="1">
        <is>
          <t xml:space="preserve">Current Output / Day</t>
        </is>
      </c>
      <c r="K1" t="inlineStr" s="1">
        <is>
          <t xml:space="preserve">Starting Resources</t>
        </is>
      </c>
      <c r="L1" t="inlineStr" s="1">
        <is>
          <t xml:space="preserve">Primary Role</t>
        </is>
      </c>
      <c r="M1" t="inlineStr" s="1">
        <is>
          <t xml:space="preserve">Notes</t>
        </is>
      </c>
    </row>
    <row r="2">
      <c r="A2" t="inlineStr">
        <is>
          <t xml:space="preserve">implemented</t>
        </is>
      </c>
      <c r="B2" t="inlineStr">
        <is>
          <t xml:space="preserve">sacred_way</t>
        </is>
      </c>
      <c r="C2" t="inlineStr">
        <is>
          <t xml:space="preserve">Sacred Way</t>
        </is>
      </c>
      <c r="D2" t="inlineStr">
        <is>
          <t xml:space="preserve">no</t>
        </is>
      </c>
      <c r="E2">
        <v>100</v>
      </c>
      <c r="F2">
        <v>1</v>
      </c>
      <c r="G2">
        <v>1</v>
      </c>
      <c r="H2" t="inlineStr">
        <is>
          <t xml:space="preserve">-</t>
        </is>
      </c>
      <c r="I2" t="inlineStr">
        <is>
          <t xml:space="preserve">-</t>
        </is>
      </c>
      <c r="J2" t="inlineStr">
        <is>
          <t xml:space="preserve">-</t>
        </is>
      </c>
      <c r="K2" t="inlineStr">
        <is>
          <t xml:space="preserve">-</t>
        </is>
      </c>
      <c r="L2" t="inlineStr">
        <is>
          <t xml:space="preserve">Road / placement unlock</t>
        </is>
      </c>
      <c r="M2" t="inlineStr">
        <is>
          <t xml:space="preserve">Enables placement adjacency; no upkeep or storage.</t>
        </is>
      </c>
    </row>
    <row r="3">
      <c r="A3" t="inlineStr">
        <is>
          <t xml:space="preserve">implemented</t>
        </is>
      </c>
      <c r="B3" t="inlineStr">
        <is>
          <t xml:space="preserve">priest_quarters</t>
        </is>
      </c>
      <c r="C3" t="inlineStr">
        <is>
          <t xml:space="preserve">Priest Quarters</t>
        </is>
      </c>
      <c r="D3" t="inlineStr">
        <is>
          <t xml:space="preserve">no</t>
        </is>
      </c>
      <c r="E3">
        <v>100</v>
      </c>
      <c r="F3">
        <v>22</v>
      </c>
      <c r="G3">
        <v>22</v>
      </c>
      <c r="H3" t="inlineStr">
        <is>
          <t xml:space="preserve">grain 6.0</t>
        </is>
      </c>
      <c r="I3" t="inlineStr">
        <is>
          <t xml:space="preserve">-</t>
        </is>
      </c>
      <c r="J3" t="inlineStr">
        <is>
          <t xml:space="preserve">-</t>
        </is>
      </c>
      <c r="K3" t="inlineStr">
        <is>
          <t xml:space="preserve">-</t>
        </is>
      </c>
      <c r="L3" t="inlineStr">
        <is>
          <t xml:space="preserve">Housing / priest anchor</t>
        </is>
      </c>
      <c r="M3" t="inlineStr">
        <is>
          <t xml:space="preserve">Grain upkeep exists in content defs but is not processed in updateDay yet.</t>
        </is>
      </c>
    </row>
    <row r="4">
      <c r="A4" t="inlineStr">
        <is>
          <t xml:space="preserve">implemented</t>
        </is>
      </c>
      <c r="B4" t="inlineStr">
        <is>
          <t xml:space="preserve">storehouse</t>
        </is>
      </c>
      <c r="C4" t="inlineStr">
        <is>
          <t xml:space="preserve">Storehouse</t>
        </is>
      </c>
      <c r="D4" t="inlineStr">
        <is>
          <t xml:space="preserve">no</t>
        </is>
      </c>
      <c r="E4">
        <v>100</v>
      </c>
      <c r="F4">
        <v>26</v>
      </c>
      <c r="G4">
        <v>26</v>
      </c>
      <c r="H4" t="inlineStr">
        <is>
          <t xml:space="preserve">-</t>
        </is>
      </c>
      <c r="I4" t="inlineStr">
        <is>
          <t xml:space="preserve">-</t>
        </is>
      </c>
      <c r="J4" t="inlineStr">
        <is>
          <t xml:space="preserve">-</t>
        </is>
      </c>
      <c r="K4" t="inlineStr">
        <is>
          <t xml:space="preserve">olive_oil 4; grain 8; incense 3</t>
        </is>
      </c>
      <c r="L4" t="inlineStr">
        <is>
          <t xml:space="preserve">Precinct buffer / logistics hub</t>
        </is>
      </c>
      <c r="M4" t="inlineStr">
        <is>
          <t xml:space="preserve">Current rebalance targets in sim: olive_oil 6, incense 4, grain 10 per storehouse.</t>
        </is>
      </c>
    </row>
    <row r="5">
      <c r="A5" t="inlineStr">
        <is>
          <t xml:space="preserve">implemented</t>
        </is>
      </c>
      <c r="B5" t="inlineStr">
        <is>
          <t xml:space="preserve">castalian_spring</t>
        </is>
      </c>
      <c r="C5" t="inlineStr">
        <is>
          <t xml:space="preserve">Castalian Spring</t>
        </is>
      </c>
      <c r="D5" t="inlineStr">
        <is>
          <t xml:space="preserve">yes</t>
        </is>
      </c>
      <c r="E5">
        <v>100</v>
      </c>
      <c r="F5">
        <v>18</v>
      </c>
      <c r="G5">
        <v>18</v>
      </c>
      <c r="H5" t="inlineStr">
        <is>
          <t xml:space="preserve">-</t>
        </is>
      </c>
      <c r="I5" t="inlineStr">
        <is>
          <t xml:space="preserve">-</t>
        </is>
      </c>
      <c r="J5" t="inlineStr">
        <is>
          <t xml:space="preserve">sacred_water 18.0</t>
        </is>
      </c>
      <c r="K5" t="inlineStr">
        <is>
          <t xml:space="preserve">sacred_water 6</t>
        </is>
      </c>
      <c r="L5" t="inlineStr">
        <is>
          <t xml:space="preserve">Sacred water source</t>
        </is>
      </c>
      <c r="M5" t="inlineStr">
        <is>
          <t xml:space="preserve">Produces 0.03 sacred water per tick and caps local storage at 20.</t>
        </is>
      </c>
    </row>
    <row r="6">
      <c r="A6" t="inlineStr">
        <is>
          <t xml:space="preserve">implemented</t>
        </is>
      </c>
      <c r="B6" t="inlineStr">
        <is>
          <t xml:space="preserve">inner_sanctum</t>
        </is>
      </c>
      <c r="C6" t="inlineStr">
        <is>
          <t xml:space="preserve">Inner Sanctum</t>
        </is>
      </c>
      <c r="D6" t="inlineStr">
        <is>
          <t xml:space="preserve">yes</t>
        </is>
      </c>
      <c r="E6">
        <v>120</v>
      </c>
      <c r="F6">
        <v>42</v>
      </c>
      <c r="G6">
        <v>42</v>
      </c>
      <c r="H6" t="inlineStr">
        <is>
          <t xml:space="preserve">incense 6.0; sacred_water 6.0</t>
        </is>
      </c>
      <c r="I6" t="inlineStr">
        <is>
          <t xml:space="preserve">incense_idle 6.0; sacred_water_idle 4.8; incense_open 21.0; sacred_water_open 18.0</t>
        </is>
      </c>
      <c r="J6" t="inlineStr">
        <is>
          <t xml:space="preserve">-</t>
        </is>
      </c>
      <c r="K6" t="inlineStr">
        <is>
          <t xml:space="preserve">-</t>
        </is>
      </c>
      <c r="L6" t="inlineStr">
        <is>
          <t xml:space="preserve">Consultation core</t>
        </is>
      </c>
      <c r="M6" t="inlineStr">
        <is>
          <t xml:space="preserve">Specific hardcoded demand overrides generic content upkeep; unstaffed sanctum loses 18 condition/day.</t>
        </is>
      </c>
    </row>
    <row r="7">
      <c r="A7" t="inlineStr">
        <is>
          <t xml:space="preserve">implemented</t>
        </is>
      </c>
      <c r="B7" t="inlineStr">
        <is>
          <t xml:space="preserve">eternal_flame_brazier</t>
        </is>
      </c>
      <c r="C7" t="inlineStr">
        <is>
          <t xml:space="preserve">Eternal Flame Brazier</t>
        </is>
      </c>
      <c r="D7" t="inlineStr">
        <is>
          <t xml:space="preserve">yes</t>
        </is>
      </c>
      <c r="E7">
        <v>100</v>
      </c>
      <c r="F7">
        <v>16</v>
      </c>
      <c r="G7">
        <v>16</v>
      </c>
      <c r="H7" t="inlineStr">
        <is>
          <t xml:space="preserve">olive_oil 9.0</t>
        </is>
      </c>
      <c r="I7" t="inlineStr">
        <is>
          <t xml:space="preserve">olive_oil 9.0</t>
        </is>
      </c>
      <c r="J7" t="inlineStr">
        <is>
          <t xml:space="preserve">-</t>
        </is>
      </c>
      <c r="K7" t="inlineStr">
        <is>
          <t xml:space="preserve">olive_oil 4</t>
        </is>
      </c>
      <c r="L7" t="inlineStr">
        <is>
          <t xml:space="preserve">Prestige / ritual flame</t>
        </is>
      </c>
      <c r="M7" t="inlineStr">
        <is>
          <t xml:space="preserve">When oil falls to ~0, the brazier degrades by 12 condition/day in addition to priest staffing pressure.</t>
        </is>
      </c>
    </row>
    <row r="8">
      <c r="A8" t="inlineStr">
        <is>
          <t xml:space="preserve">proposed</t>
        </is>
      </c>
      <c r="B8" t="inlineStr">
        <is>
          <t xml:space="preserve">animal_pen</t>
        </is>
      </c>
      <c r="C8" t="inlineStr">
        <is>
          <t xml:space="preserve">Animal Pen</t>
        </is>
      </c>
      <c r="D8" t="inlineStr">
        <is>
          <t xml:space="preserve">no</t>
        </is>
      </c>
      <c r="E8">
        <v>100</v>
      </c>
      <c r="G8">
        <v>20</v>
      </c>
      <c r="H8" t="inlineStr">
        <is>
          <t xml:space="preserve">-</t>
        </is>
      </c>
      <c r="I8" t="inlineStr">
        <is>
          <t xml:space="preserve">grain 2.0</t>
        </is>
      </c>
      <c r="J8" t="inlineStr">
        <is>
          <t xml:space="preserve">sacred_animals 0.8</t>
        </is>
      </c>
      <c r="K8" t="inlineStr">
        <is>
          <t xml:space="preserve">-</t>
        </is>
      </c>
      <c r="L8" t="inlineStr">
        <is>
          <t xml:space="preserve">Sacred animal source</t>
        </is>
      </c>
      <c r="M8" t="inlineStr">
        <is>
          <t xml:space="preserve">Target rate sized so one pen can sustain one altar with a small reserve buffer.</t>
        </is>
      </c>
    </row>
    <row r="9">
      <c r="A9" t="inlineStr">
        <is>
          <t xml:space="preserve">proposed</t>
        </is>
      </c>
      <c r="B9" t="inlineStr">
        <is>
          <t xml:space="preserve">sacrificial_altar</t>
        </is>
      </c>
      <c r="C9" t="inlineStr">
        <is>
          <t xml:space="preserve">Sacrificial Altar</t>
        </is>
      </c>
      <c r="D9" t="inlineStr">
        <is>
          <t xml:space="preserve">yes</t>
        </is>
      </c>
      <c r="E9">
        <v>110</v>
      </c>
      <c r="G9">
        <v>28</v>
      </c>
      <c r="H9" t="inlineStr">
        <is>
          <t xml:space="preserve">-</t>
        </is>
      </c>
      <c r="I9" t="inlineStr">
        <is>
          <t xml:space="preserve">sacred_animals 0.5; incense 0.3</t>
        </is>
      </c>
      <c r="J9" t="inlineStr">
        <is>
          <t xml:space="preserve">-</t>
        </is>
      </c>
      <c r="K9" t="inlineStr">
        <is>
          <t xml:space="preserve">-</t>
        </is>
      </c>
      <c r="L9" t="inlineStr">
        <is>
          <t xml:space="preserve">Omen-quality input</t>
        </is>
      </c>
      <c r="M9" t="inlineStr">
        <is>
          <t xml:space="preserve">Consumes animals and incense to support the planned extispicy chain rather than a stockpiled output resource.</t>
        </is>
      </c>
    </row>
    <row r="10">
      <c r="A10" t="inlineStr">
        <is>
          <t xml:space="preserve">proposed</t>
        </is>
      </c>
      <c r="B10" t="inlineStr">
        <is>
          <t xml:space="preserve">granary</t>
        </is>
      </c>
      <c r="C10" t="inlineStr">
        <is>
          <t xml:space="preserve">Granary</t>
        </is>
      </c>
      <c r="D10" t="inlineStr">
        <is>
          <t xml:space="preserve">no</t>
        </is>
      </c>
      <c r="E10">
        <v>100</v>
      </c>
      <c r="G10">
        <v>24</v>
      </c>
      <c r="H10" t="inlineStr">
        <is>
          <t xml:space="preserve">-</t>
        </is>
      </c>
      <c r="I10" t="inlineStr">
        <is>
          <t xml:space="preserve">-</t>
        </is>
      </c>
      <c r="J10" t="inlineStr">
        <is>
          <t xml:space="preserve">-</t>
        </is>
      </c>
      <c r="K10" t="inlineStr">
        <is>
          <t xml:space="preserve">-</t>
        </is>
      </c>
      <c r="L10" t="inlineStr">
        <is>
          <t xml:space="preserve">Bulk grain buffer</t>
        </is>
      </c>
      <c r="M10" t="inlineStr">
        <is>
          <t xml:space="preserve">Proposed as a storage unlock with +40 local grain capacity rather than a passive sink.</t>
        </is>
      </c>
    </row>
    <row r="11">
      <c r="A11" t="inlineStr">
        <is>
          <t xml:space="preserve">proposed</t>
        </is>
      </c>
      <c r="B11" t="inlineStr">
        <is>
          <t xml:space="preserve">kitchen</t>
        </is>
      </c>
      <c r="C11" t="inlineStr">
        <is>
          <t xml:space="preserve">Kitchen</t>
        </is>
      </c>
      <c r="D11" t="inlineStr">
        <is>
          <t xml:space="preserve">no</t>
        </is>
      </c>
      <c r="E11">
        <v>100</v>
      </c>
      <c r="G11">
        <v>26</v>
      </c>
      <c r="H11" t="inlineStr">
        <is>
          <t xml:space="preserve">-</t>
        </is>
      </c>
      <c r="I11" t="inlineStr">
        <is>
          <t xml:space="preserve">grain 3.0</t>
        </is>
      </c>
      <c r="J11" t="inlineStr">
        <is>
          <t xml:space="preserve">bread 2.0</t>
        </is>
      </c>
      <c r="K11" t="inlineStr">
        <is>
          <t xml:space="preserve">-</t>
        </is>
      </c>
      <c r="L11" t="inlineStr">
        <is>
          <t xml:space="preserve">Food conversion</t>
        </is>
      </c>
      <c r="M11" t="inlineStr">
        <is>
          <t xml:space="preserve">Target conversion keeps bread scarce enough to matter for xenon / market upkeep.</t>
        </is>
      </c>
    </row>
    <row r="12">
      <c r="A12" t="inlineStr">
        <is>
          <t xml:space="preserve">proposed</t>
        </is>
      </c>
      <c r="B12" t="inlineStr">
        <is>
          <t xml:space="preserve">olive_press</t>
        </is>
      </c>
      <c r="C12" t="inlineStr">
        <is>
          <t xml:space="preserve">Olive Press</t>
        </is>
      </c>
      <c r="D12" t="inlineStr">
        <is>
          <t xml:space="preserve">no</t>
        </is>
      </c>
      <c r="E12">
        <v>100</v>
      </c>
      <c r="G12">
        <v>26</v>
      </c>
      <c r="H12" t="inlineStr">
        <is>
          <t xml:space="preserve">-</t>
        </is>
      </c>
      <c r="I12" t="inlineStr">
        <is>
          <t xml:space="preserve">olives 4.0</t>
        </is>
      </c>
      <c r="J12" t="inlineStr">
        <is>
          <t xml:space="preserve">olive_oil 3.0</t>
        </is>
      </c>
      <c r="K12" t="inlineStr">
        <is>
          <t xml:space="preserve">-</t>
        </is>
      </c>
      <c r="L12" t="inlineStr">
        <is>
          <t xml:space="preserve">Oil conversion</t>
        </is>
      </c>
      <c r="M12" t="inlineStr">
        <is>
          <t xml:space="preserve">One press comfortably feeds a brazier target burn of ~4 oil/day with room for rituals.</t>
        </is>
      </c>
    </row>
    <row r="13">
      <c r="A13" t="inlineStr">
        <is>
          <t xml:space="preserve">proposed</t>
        </is>
      </c>
      <c r="B13" t="inlineStr">
        <is>
          <t xml:space="preserve">incense_store</t>
        </is>
      </c>
      <c r="C13" t="inlineStr">
        <is>
          <t xml:space="preserve">Incense Store</t>
        </is>
      </c>
      <c r="D13" t="inlineStr">
        <is>
          <t xml:space="preserve">no</t>
        </is>
      </c>
      <c r="E13">
        <v>100</v>
      </c>
      <c r="G13">
        <v>22</v>
      </c>
      <c r="H13" t="inlineStr">
        <is>
          <t xml:space="preserve">-</t>
        </is>
      </c>
      <c r="I13" t="inlineStr">
        <is>
          <t xml:space="preserve">-</t>
        </is>
      </c>
      <c r="J13" t="inlineStr">
        <is>
          <t xml:space="preserve">-</t>
        </is>
      </c>
      <c r="K13" t="inlineStr">
        <is>
          <t xml:space="preserve">-</t>
        </is>
      </c>
      <c r="L13" t="inlineStr">
        <is>
          <t xml:space="preserve">Incense buffer</t>
        </is>
      </c>
      <c r="M13" t="inlineStr">
        <is>
          <t xml:space="preserve">Proposed as a storage unlock with +20 local incense capacity and logistics priority for sanctum/altar demand.</t>
        </is>
      </c>
    </row>
    <row r="14">
      <c r="A14" t="inlineStr">
        <is>
          <t xml:space="preserve">proposed</t>
        </is>
      </c>
      <c r="B14" t="inlineStr">
        <is>
          <t xml:space="preserve">agora_market</t>
        </is>
      </c>
      <c r="C14" t="inlineStr">
        <is>
          <t xml:space="preserve">Agora Market</t>
        </is>
      </c>
      <c r="D14" t="inlineStr">
        <is>
          <t xml:space="preserve">no</t>
        </is>
      </c>
      <c r="E14">
        <v>110</v>
      </c>
      <c r="G14">
        <v>34</v>
      </c>
      <c r="H14" t="inlineStr">
        <is>
          <t xml:space="preserve">-</t>
        </is>
      </c>
      <c r="I14" t="inlineStr">
        <is>
          <t xml:space="preserve">bread 1.0; incense 0.2</t>
        </is>
      </c>
      <c r="J14" t="inlineStr">
        <is>
          <t xml:space="preserve">gold_equivalent 2.5</t>
        </is>
      </c>
      <c r="K14" t="inlineStr">
        <is>
          <t xml:space="preserve">-</t>
        </is>
      </c>
      <c r="L14" t="inlineStr">
        <is>
          <t xml:space="preserve">Visitor income</t>
        </is>
      </c>
      <c r="M14" t="inlineStr">
        <is>
          <t xml:space="preserve">Gold-equivalent output is a balancing target for future donation / market income, not a current stock resource.</t>
        </is>
      </c>
    </row>
    <row r="15">
      <c r="A15" t="inlineStr">
        <is>
          <t xml:space="preserve">proposed</t>
        </is>
      </c>
      <c r="B15" t="inlineStr">
        <is>
          <t xml:space="preserve">xenon</t>
        </is>
      </c>
      <c r="C15" t="inlineStr">
        <is>
          <t xml:space="preserve">Xenon</t>
        </is>
      </c>
      <c r="D15" t="inlineStr">
        <is>
          <t xml:space="preserve">no</t>
        </is>
      </c>
      <c r="E15">
        <v>110</v>
      </c>
      <c r="G15">
        <v>36</v>
      </c>
      <c r="H15" t="inlineStr">
        <is>
          <t xml:space="preserve">-</t>
        </is>
      </c>
      <c r="I15" t="inlineStr">
        <is>
          <t xml:space="preserve">bread 1.0; sacred_water 0.5</t>
        </is>
      </c>
      <c r="J15" t="inlineStr">
        <is>
          <t xml:space="preserve">gold_equivalent 1.5</t>
        </is>
      </c>
      <c r="K15" t="inlineStr">
        <is>
          <t xml:space="preserve">-</t>
        </is>
      </c>
      <c r="L15" t="inlineStr">
        <is>
          <t xml:space="preserve">Envoy lodging / donation buffer</t>
        </is>
      </c>
      <c r="M15" t="inlineStr">
        <is>
          <t xml:space="preserve">Intended to soften envoy mood and add steady donation value without eclipsing consultation income.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4" customWidth="1"/>
    <col min="3" max="3" width="26" customWidth="1"/>
    <col min="4" max="4" width="16" customWidth="1"/>
    <col min="5" max="5" width="16" customWidth="1"/>
    <col min="6" max="6" width="16" customWidth="1"/>
    <col min="7" max="7" width="34" customWidth="1"/>
    <col min="8" max="8" width="14" customWidth="1"/>
    <col min="9" max="9" width="60" customWidth="1"/>
  </cols>
  <sheetData>
    <row r="1">
      <c r="A1" t="inlineStr" s="1">
        <is>
          <t xml:space="preserve">Status</t>
        </is>
      </c>
      <c r="B1" t="inlineStr" s="1">
        <is>
          <t xml:space="preserve">Mode</t>
        </is>
      </c>
      <c r="C1" t="inlineStr" s="1">
        <is>
          <t xml:space="preserve">Building / System</t>
        </is>
      </c>
      <c r="D1" t="inlineStr" s="1">
        <is>
          <t xml:space="preserve">Resource</t>
        </is>
      </c>
      <c r="E1" t="inlineStr" s="1">
        <is>
          <t xml:space="preserve">Current Delta / Day</t>
        </is>
      </c>
      <c r="F1" t="inlineStr" s="1">
        <is>
          <t xml:space="preserve">Target Delta / Day</t>
        </is>
      </c>
      <c r="G1" t="inlineStr" s="1">
        <is>
          <t xml:space="preserve">Support / Example</t>
        </is>
      </c>
      <c r="H1" t="inlineStr" s="1">
        <is>
          <t xml:space="preserve">Simulated Now</t>
        </is>
      </c>
      <c r="I1" t="inlineStr" s="1">
        <is>
          <t xml:space="preserve">Notes</t>
        </is>
      </c>
    </row>
    <row r="2">
      <c r="A2" t="inlineStr">
        <is>
          <t xml:space="preserve">implemented</t>
        </is>
      </c>
      <c r="B2" t="inlineStr">
        <is>
          <t xml:space="preserve">production</t>
        </is>
      </c>
      <c r="C2" t="inlineStr">
        <is>
          <t xml:space="preserve">castalian_spring</t>
        </is>
      </c>
      <c r="D2" t="inlineStr">
        <is>
          <t xml:space="preserve">sacred_water</t>
        </is>
      </c>
      <c r="E2">
        <v>18.0</v>
      </c>
      <c r="F2">
        <v>18.0</v>
      </c>
      <c r="G2" t="inlineStr">
        <is>
          <t xml:space="preserve">1 spring supports 3.75 idle sanctums or 1 open sanctum</t>
        </is>
      </c>
      <c r="H2" t="inlineStr">
        <is>
          <t xml:space="preserve">yes</t>
        </is>
      </c>
      <c r="I2" t="inlineStr">
        <is>
          <t xml:space="preserve">0.03 per tick * 600 ticks/day.</t>
        </is>
      </c>
    </row>
    <row r="3">
      <c r="A3" t="inlineStr">
        <is>
          <t xml:space="preserve">implemented</t>
        </is>
      </c>
      <c r="B3" t="inlineStr">
        <is>
          <t xml:space="preserve">consumption</t>
        </is>
      </c>
      <c r="C3" t="inlineStr">
        <is>
          <t xml:space="preserve">inner_sanctum (idle)</t>
        </is>
      </c>
      <c r="D3" t="inlineStr">
        <is>
          <t xml:space="preserve">incense</t>
        </is>
      </c>
      <c r="E3">
        <v>-6.0</v>
      </c>
      <c r="F3">
        <v>-4.0</v>
      </c>
      <c r="G3" t="inlineStr">
        <is>
          <t xml:space="preserve">12 base incense lasts 2.0 idle days</t>
        </is>
      </c>
      <c r="H3" t="inlineStr">
        <is>
          <t xml:space="preserve">yes</t>
        </is>
      </c>
      <c r="I3" t="inlineStr">
        <is>
          <t xml:space="preserve">Hardcoded idle demand while consultation is not open.</t>
        </is>
      </c>
    </row>
    <row r="4">
      <c r="A4" t="inlineStr">
        <is>
          <t xml:space="preserve">implemented</t>
        </is>
      </c>
      <c r="B4" t="inlineStr">
        <is>
          <t xml:space="preserve">consumption</t>
        </is>
      </c>
      <c r="C4" t="inlineStr">
        <is>
          <t xml:space="preserve">inner_sanctum (idle)</t>
        </is>
      </c>
      <c r="D4" t="inlineStr">
        <is>
          <t xml:space="preserve">sacred_water</t>
        </is>
      </c>
      <c r="E4">
        <v>-4.8</v>
      </c>
      <c r="F4">
        <v>-4.0</v>
      </c>
      <c r="G4" t="inlineStr">
        <is>
          <t xml:space="preserve">1 spring supports 3.75 idle sanctums</t>
        </is>
      </c>
      <c r="H4" t="inlineStr">
        <is>
          <t xml:space="preserve">yes</t>
        </is>
      </c>
      <c r="I4" t="inlineStr">
        <is>
          <t xml:space="preserve">Water demand is slightly below the content-def upkeep value.</t>
        </is>
      </c>
    </row>
    <row r="5">
      <c r="A5" t="inlineStr">
        <is>
          <t xml:space="preserve">implemented</t>
        </is>
      </c>
      <c r="B5" t="inlineStr">
        <is>
          <t xml:space="preserve">consumption</t>
        </is>
      </c>
      <c r="C5" t="inlineStr">
        <is>
          <t xml:space="preserve">inner_sanctum (open)</t>
        </is>
      </c>
      <c r="D5" t="inlineStr">
        <is>
          <t xml:space="preserve">incense</t>
        </is>
      </c>
      <c r="E5">
        <v>-21.0</v>
      </c>
      <c r="F5">
        <v>-12.0</v>
      </c>
      <c r="G5" t="inlineStr">
        <is>
          <t xml:space="preserve">12 base incense lasts 0.57 open days if time advances</t>
        </is>
      </c>
      <c r="H5" t="inlineStr">
        <is>
          <t xml:space="preserve">yes*</t>
        </is>
      </c>
      <c r="I5" t="inlineStr">
        <is>
          <t xml:space="preserve">Open-mode demand only matters if simulation ticks while the consultation remains open.</t>
        </is>
      </c>
    </row>
    <row r="6">
      <c r="A6" t="inlineStr">
        <is>
          <t xml:space="preserve">implemented</t>
        </is>
      </c>
      <c r="B6" t="inlineStr">
        <is>
          <t xml:space="preserve">consumption</t>
        </is>
      </c>
      <c r="C6" t="inlineStr">
        <is>
          <t xml:space="preserve">inner_sanctum (open)</t>
        </is>
      </c>
      <c r="D6" t="inlineStr">
        <is>
          <t xml:space="preserve">sacred_water</t>
        </is>
      </c>
      <c r="E6">
        <v>-18.0</v>
      </c>
      <c r="F6">
        <v>-10.0</v>
      </c>
      <c r="G6" t="inlineStr">
        <is>
          <t xml:space="preserve">1 spring exactly breaks even at the current open rate</t>
        </is>
      </c>
      <c r="H6" t="inlineStr">
        <is>
          <t xml:space="preserve">yes*</t>
        </is>
      </c>
      <c r="I6" t="inlineStr">
        <is>
          <t xml:space="preserve">At target, one spring leaves spare water for purification.</t>
        </is>
      </c>
    </row>
    <row r="7">
      <c r="A7" t="inlineStr">
        <is>
          <t xml:space="preserve">implemented</t>
        </is>
      </c>
      <c r="B7" t="inlineStr">
        <is>
          <t xml:space="preserve">consumption</t>
        </is>
      </c>
      <c r="C7" t="inlineStr">
        <is>
          <t xml:space="preserve">eternal_flame_brazier</t>
        </is>
      </c>
      <c r="D7" t="inlineStr">
        <is>
          <t xml:space="preserve">olive_oil</t>
        </is>
      </c>
      <c r="E7">
        <v>-9.0</v>
      </c>
      <c r="F7">
        <v>-4.0</v>
      </c>
      <c r="G7" t="inlineStr">
        <is>
          <t xml:space="preserve">18 base oil lasts 2.0 current days</t>
        </is>
      </c>
      <c r="H7" t="inlineStr">
        <is>
          <t xml:space="preserve">yes</t>
        </is>
      </c>
      <c r="I7" t="inlineStr">
        <is>
          <t xml:space="preserve">Lower target burn leaves room for future olive-press output and trade shocks.</t>
        </is>
      </c>
    </row>
    <row r="8">
      <c r="A8" t="inlineStr">
        <is>
          <t xml:space="preserve">implemented</t>
        </is>
      </c>
      <c r="B8" t="inlineStr">
        <is>
          <t xml:space="preserve">consumption</t>
        </is>
      </c>
      <c r="C8" t="inlineStr">
        <is>
          <t xml:space="preserve">priest_quarters</t>
        </is>
      </c>
      <c r="D8" t="inlineStr">
        <is>
          <t xml:space="preserve">grain</t>
        </is>
      </c>
      <c r="E8">
        <v>-6.0</v>
      </c>
      <c r="F8">
        <v>-3.0</v>
      </c>
      <c r="G8" t="inlineStr">
        <is>
          <t xml:space="preserve">40 base grain lasts 6.7 days if generic upkeep is wired</t>
        </is>
      </c>
      <c r="H8" t="inlineStr">
        <is>
          <t xml:space="preserve">definition only</t>
        </is>
      </c>
      <c r="I8" t="inlineStr">
        <is>
          <t xml:space="preserve">Upkeep is present in content but not currently processed in updateDay.</t>
        </is>
      </c>
    </row>
    <row r="9">
      <c r="A9" t="inlineStr">
        <is>
          <t xml:space="preserve">proposed</t>
        </is>
      </c>
      <c r="B9" t="inlineStr">
        <is>
          <t xml:space="preserve">conversion</t>
        </is>
      </c>
      <c r="C9" t="inlineStr">
        <is>
          <t xml:space="preserve">animal_pen</t>
        </is>
      </c>
      <c r="D9" t="inlineStr">
        <is>
          <t xml:space="preserve">sacred_animals</t>
        </is>
      </c>
      <c r="F9">
        <v>0.8</v>
      </c>
      <c r="G9" t="inlineStr">
        <is>
          <t xml:space="preserve">Consumes grain at 2/day</t>
        </is>
      </c>
      <c r="H9" t="inlineStr">
        <is>
          <t xml:space="preserve">no</t>
        </is>
      </c>
      <c r="I9" t="inlineStr">
        <is>
          <t xml:space="preserve">Future chain target for altar and omen sourcing.</t>
        </is>
      </c>
    </row>
    <row r="10">
      <c r="A10" t="inlineStr">
        <is>
          <t xml:space="preserve">proposed</t>
        </is>
      </c>
      <c r="B10" t="inlineStr">
        <is>
          <t xml:space="preserve">conversion</t>
        </is>
      </c>
      <c r="C10" t="inlineStr">
        <is>
          <t xml:space="preserve">kitchen</t>
        </is>
      </c>
      <c r="D10" t="inlineStr">
        <is>
          <t xml:space="preserve">bread</t>
        </is>
      </c>
      <c r="F10">
        <v>2.0</v>
      </c>
      <c r="G10" t="inlineStr">
        <is>
          <t xml:space="preserve">Consumes grain at 3/day</t>
        </is>
      </c>
      <c r="H10" t="inlineStr">
        <is>
          <t xml:space="preserve">no</t>
        </is>
      </c>
      <c r="I10" t="inlineStr">
        <is>
          <t xml:space="preserve">Target keeps xenon/market demand meaningful but sustainable.</t>
        </is>
      </c>
    </row>
    <row r="11">
      <c r="A11" t="inlineStr">
        <is>
          <t xml:space="preserve">proposed</t>
        </is>
      </c>
      <c r="B11" t="inlineStr">
        <is>
          <t xml:space="preserve">conversion</t>
        </is>
      </c>
      <c r="C11" t="inlineStr">
        <is>
          <t xml:space="preserve">olive_press</t>
        </is>
      </c>
      <c r="D11" t="inlineStr">
        <is>
          <t xml:space="preserve">olive_oil</t>
        </is>
      </c>
      <c r="F11">
        <v>3.0</v>
      </c>
      <c r="G11" t="inlineStr">
        <is>
          <t xml:space="preserve">Consumes olives at 4/day</t>
        </is>
      </c>
      <c r="H11" t="inlineStr">
        <is>
          <t xml:space="preserve">no</t>
        </is>
      </c>
      <c r="I11" t="inlineStr">
        <is>
          <t xml:space="preserve">One press should almost cover a target brazier burn by itself.</t>
        </is>
      </c>
    </row>
    <row r="12">
      <c r="A12" t="inlineStr">
        <is>
          <t xml:space="preserve">proposed</t>
        </is>
      </c>
      <c r="B12" t="inlineStr">
        <is>
          <t xml:space="preserve">consumption</t>
        </is>
      </c>
      <c r="C12" t="inlineStr">
        <is>
          <t xml:space="preserve">sacrificial_altar</t>
        </is>
      </c>
      <c r="D12" t="inlineStr">
        <is>
          <t xml:space="preserve">sacred_animals</t>
        </is>
      </c>
      <c r="F12">
        <v>-0.5</v>
      </c>
      <c r="G12" t="inlineStr">
        <is>
          <t xml:space="preserve">Also consumes incense at 0.3/day</t>
        </is>
      </c>
      <c r="H12" t="inlineStr">
        <is>
          <t xml:space="preserve">no</t>
        </is>
      </c>
      <c r="I12" t="inlineStr">
        <is>
          <t xml:space="preserve">Target sink for extispicy depth; effect is omen quality, not stock output.</t>
        </is>
      </c>
    </row>
    <row r="13">
      <c r="A13" t="inlineStr">
        <is>
          <t xml:space="preserve">proposed</t>
        </is>
      </c>
      <c r="B13" t="inlineStr">
        <is>
          <t xml:space="preserve">income</t>
        </is>
      </c>
      <c r="C13" t="inlineStr">
        <is>
          <t xml:space="preserve">agora_market</t>
        </is>
      </c>
      <c r="D13" t="inlineStr">
        <is>
          <t xml:space="preserve">gold_equivalent</t>
        </is>
      </c>
      <c r="F13">
        <v>2.5</v>
      </c>
      <c r="G13" t="inlineStr">
        <is>
          <t xml:space="preserve">Consumes bread 1/day and incense 0.2/day</t>
        </is>
      </c>
      <c r="H13" t="inlineStr">
        <is>
          <t xml:space="preserve">no</t>
        </is>
      </c>
      <c r="I13" t="inlineStr">
        <is>
          <t xml:space="preserve">Treat as donation/market income target when future systems land.</t>
        </is>
      </c>
    </row>
    <row r="14">
      <c r="A14" t="inlineStr">
        <is>
          <t xml:space="preserve">proposed</t>
        </is>
      </c>
      <c r="B14" t="inlineStr">
        <is>
          <t xml:space="preserve">income</t>
        </is>
      </c>
      <c r="C14" t="inlineStr">
        <is>
          <t xml:space="preserve">xenon</t>
        </is>
      </c>
      <c r="D14" t="inlineStr">
        <is>
          <t xml:space="preserve">gold_equivalent</t>
        </is>
      </c>
      <c r="F14">
        <v>1.5</v>
      </c>
      <c r="G14" t="inlineStr">
        <is>
          <t xml:space="preserve">Consumes bread 1/day and sacred_water 0.5/day</t>
        </is>
      </c>
      <c r="H14" t="inlineStr">
        <is>
          <t xml:space="preserve">no</t>
        </is>
      </c>
      <c r="I14" t="inlineStr">
        <is>
          <t xml:space="preserve">Small passive income target to support envoy hosting without replacing consultation revenue.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M23"/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0" customWidth="1"/>
    <col min="3" max="3" width="18" customWidth="1"/>
    <col min="4" max="4" width="14" customWidth="1"/>
    <col min="5" max="5" width="18" customWidth="1"/>
    <col min="6" max="6" width="16" customWidth="1"/>
    <col min="7" max="7" width="14" customWidth="1"/>
    <col min="8" max="8" width="12" customWidth="1"/>
    <col min="9" max="9" width="16" customWidth="1"/>
    <col min="10" max="10" width="18" customWidth="1"/>
    <col min="11" max="11" width="20" customWidth="1"/>
    <col min="12" max="12" width="18" customWidth="1"/>
    <col min="13" max="13" width="18" customWidth="1"/>
  </cols>
  <sheetData>
    <row r="1">
      <c r="A1" t="inlineStr" s="1">
        <is>
          <t xml:space="preserve">Metric</t>
        </is>
      </c>
      <c r="B1" t="inlineStr" s="1">
        <is>
          <t xml:space="preserve">Current Value</t>
        </is>
      </c>
      <c r="C1" t="inlineStr" s="1">
        <is>
          <t xml:space="preserve">Notes</t>
        </is>
      </c>
    </row>
    <row r="2">
      <c r="A2" t="inlineStr">
        <is>
          <t xml:space="preserve">Average initial payment</t>
        </is>
      </c>
      <c r="B2" s="5">
        <f>AVERAGE(I10:I17)</f>
        <v>57.5</v>
      </c>
      <c r="C2" t="inlineStr">
        <is>
          <t xml:space="preserve">Across 8 starting factions.</t>
        </is>
      </c>
    </row>
    <row r="3">
      <c r="A3" t="inlineStr">
        <is>
          <t xml:space="preserve">Consultations in first 90 days</t>
        </is>
      </c>
      <c r="B3" s="4">
        <f>INT(90/15)</f>
        <v>6</v>
      </c>
      <c r="C3" t="inlineStr">
        <is>
          <t xml:space="preserve">Consultations trigger every 15 days from day 15 while idle.</t>
        </is>
      </c>
    </row>
    <row r="4">
      <c r="A4" t="inlineStr">
        <is>
          <t xml:space="preserve">Gross consultation gold in first 90 days</t>
        </is>
      </c>
      <c r="B4" s="5">
        <f>B2*B3</f>
        <v>345.0</v>
      </c>
      <c r="C4" t="inlineStr">
        <is>
          <t xml:space="preserve">Excludes trade offers, markets, and donations.</t>
        </is>
      </c>
    </row>
    <row r="5">
      <c r="A5" t="inlineStr">
        <is>
          <t xml:space="preserve">Monthly trade offers</t>
        </is>
      </c>
      <c r="B5" s="4">
        <v>4</v>
      </c>
      <c r="C5" t="inlineStr">
        <is>
          <t xml:space="preserve">Top 4 trade-access factions each month.</t>
        </is>
      </c>
    </row>
    <row r="6">
      <c r="A6" t="inlineStr">
        <is>
          <t xml:space="preserve">Consequence delay</t>
        </is>
      </c>
      <c r="B6" s="4">
        <v>20</v>
      </c>
      <c r="C6" t="inlineStr">
        <is>
          <t xml:space="preserve">Prophecies resolve 20 days after delivery.</t>
        </is>
      </c>
    </row>
    <row r="7"/>
    <row r="8">
      <c r="A8" t="inlineStr" s="1">
        <is>
          <t xml:space="preserve">Faction ID</t>
        </is>
      </c>
      <c r="B8" t="inlineStr" s="1">
        <is>
          <t xml:space="preserve">Profile</t>
        </is>
      </c>
      <c r="C8" t="inlineStr" s="1">
        <is>
          <t xml:space="preserve">Agenda</t>
        </is>
      </c>
      <c r="D8" t="inlineStr" s="1">
        <is>
          <t xml:space="preserve">Trade Access</t>
        </is>
      </c>
      <c r="E8" t="inlineStr" s="1">
        <is>
          <t xml:space="preserve">Favored Resource</t>
        </is>
      </c>
      <c r="F8" t="inlineStr" s="1">
        <is>
          <t xml:space="preserve">Base Credibility</t>
        </is>
      </c>
      <c r="G8" t="inlineStr" s="1">
        <is>
          <t xml:space="preserve">Base Favour</t>
        </is>
      </c>
      <c r="H8" t="inlineStr" s="1">
        <is>
          <t xml:space="preserve">Base Debt</t>
        </is>
      </c>
      <c r="I8" t="inlineStr" s="1">
        <is>
          <t xml:space="preserve">Initial Payment</t>
        </is>
      </c>
      <c r="J8" t="inlineStr" s="1">
        <is>
          <t xml:space="preserve">Month 2 Offer Score</t>
        </is>
      </c>
      <c r="K8" t="inlineStr" s="1">
        <is>
          <t xml:space="preserve">Month 2 Offer Resource</t>
        </is>
      </c>
      <c r="L8" t="inlineStr" s="1">
        <is>
          <t xml:space="preserve">Month 2 Offer Amount</t>
        </is>
      </c>
      <c r="M8" t="inlineStr" s="1">
        <is>
          <t xml:space="preserve">Month 2 Offer Price</t>
        </is>
      </c>
    </row>
    <row r="9">
      <c r="A9" t="inlineStr">
        <is>
          <t xml:space="preserve">athens</t>
        </is>
      </c>
      <c r="B9" t="inlineStr">
        <is>
          <t xml:space="preserve">martial</t>
        </is>
      </c>
      <c r="C9" t="inlineStr">
        <is>
          <t xml:space="preserve">war</t>
        </is>
      </c>
      <c r="D9" t="inlineStr">
        <is>
          <t xml:space="preserve">yes</t>
        </is>
      </c>
      <c r="E9" t="inlineStr">
        <is>
          <t xml:space="preserve">grain</t>
        </is>
      </c>
      <c r="F9">
        <v>48</v>
      </c>
      <c r="G9">
        <v>52</v>
      </c>
      <c r="H9">
        <v>0</v>
      </c>
      <c r="I9" s="4">
        <f>28+ROUND(F10/2,0)+IF(H10&gt;15,4,0)</f>
        <v>52</v>
      </c>
      <c r="J9">
        <v>100</v>
      </c>
      <c r="K9" t="inlineStr">
        <is>
          <t xml:space="preserve">-</t>
        </is>
      </c>
    </row>
    <row r="10">
      <c r="A10" t="inlineStr">
        <is>
          <t xml:space="preserve">sparta</t>
        </is>
      </c>
      <c r="B10" t="inlineStr">
        <is>
          <t xml:space="preserve">martial</t>
        </is>
      </c>
      <c r="C10" t="inlineStr">
        <is>
          <t xml:space="preserve">war</t>
        </is>
      </c>
      <c r="D10" t="inlineStr">
        <is>
          <t xml:space="preserve">yes</t>
        </is>
      </c>
      <c r="E10" t="inlineStr">
        <is>
          <t xml:space="preserve">olive_oil</t>
        </is>
      </c>
      <c r="F10">
        <v>51</v>
      </c>
      <c r="G10">
        <v>51</v>
      </c>
      <c r="H10">
        <v>0</v>
      </c>
      <c r="I10" s="4">
        <f>28+ROUND(F11/2,0)+IF(H11&gt;15,4,0)</f>
        <v>54</v>
      </c>
      <c r="J10">
        <v>102</v>
      </c>
      <c r="K10" t="inlineStr">
        <is>
          <t xml:space="preserve">-</t>
        </is>
      </c>
    </row>
    <row r="11">
      <c r="A11" t="inlineStr">
        <is>
          <t xml:space="preserve">corinth</t>
        </is>
      </c>
      <c r="B11" t="inlineStr">
        <is>
          <t xml:space="preserve">mercantile</t>
        </is>
      </c>
      <c r="C11" t="inlineStr">
        <is>
          <t xml:space="preserve">trade</t>
        </is>
      </c>
      <c r="D11" t="inlineStr">
        <is>
          <t xml:space="preserve">yes</t>
        </is>
      </c>
      <c r="E11" t="inlineStr">
        <is>
          <t xml:space="preserve">incense</t>
        </is>
      </c>
      <c r="F11">
        <v>54</v>
      </c>
      <c r="G11">
        <v>50</v>
      </c>
      <c r="H11">
        <v>0</v>
      </c>
      <c r="I11" s="4">
        <f>28+ROUND(F12/2,0)+IF(H12&gt;15,4,0)</f>
        <v>55</v>
      </c>
      <c r="J11">
        <v>110</v>
      </c>
      <c r="K11" t="inlineStr">
        <is>
          <t xml:space="preserve">grain</t>
        </is>
      </c>
      <c r="L11">
        <v>18</v>
      </c>
      <c r="M11">
        <v>8.6</v>
      </c>
    </row>
    <row r="12">
      <c r="A12" t="inlineStr">
        <is>
          <t xml:space="preserve">thebes</t>
        </is>
      </c>
      <c r="B12" t="inlineStr">
        <is>
          <t xml:space="preserve">devout</t>
        </is>
      </c>
      <c r="C12" t="inlineStr">
        <is>
          <t xml:space="preserve">faith</t>
        </is>
      </c>
      <c r="D12" t="inlineStr">
        <is>
          <t xml:space="preserve">yes</t>
        </is>
      </c>
      <c r="E12" t="inlineStr">
        <is>
          <t xml:space="preserve">incense</t>
        </is>
      </c>
      <c r="F12">
        <v>57</v>
      </c>
      <c r="G12">
        <v>49</v>
      </c>
      <c r="H12">
        <v>0</v>
      </c>
      <c r="I12" s="4">
        <f>28+ROUND(F13/2,0)+IF(H13&gt;15,4,0)</f>
        <v>57</v>
      </c>
      <c r="J12">
        <v>106</v>
      </c>
      <c r="K12" t="inlineStr">
        <is>
          <t xml:space="preserve">incense</t>
        </is>
      </c>
      <c r="L12">
        <v>20</v>
      </c>
      <c r="M12">
        <v>9.0</v>
      </c>
    </row>
    <row r="13">
      <c r="A13" t="inlineStr">
        <is>
          <t xml:space="preserve">argos</t>
        </is>
      </c>
      <c r="B13" t="inlineStr">
        <is>
          <t xml:space="preserve">mercantile</t>
        </is>
      </c>
      <c r="C13" t="inlineStr">
        <is>
          <t xml:space="preserve">trade</t>
        </is>
      </c>
      <c r="D13" t="inlineStr">
        <is>
          <t xml:space="preserve">no</t>
        </is>
      </c>
      <c r="E13" t="inlineStr">
        <is>
          <t xml:space="preserve">grain</t>
        </is>
      </c>
      <c r="F13">
        <v>60</v>
      </c>
      <c r="G13">
        <v>48</v>
      </c>
      <c r="H13">
        <v>0</v>
      </c>
      <c r="I13" s="4">
        <f>28+ROUND(F14/2,0)+IF(H14&gt;15,4,0)</f>
        <v>58</v>
      </c>
      <c r="J13">
        <v>114</v>
      </c>
      <c r="K13" t="inlineStr">
        <is>
          <t xml:space="preserve">-</t>
        </is>
      </c>
    </row>
    <row r="14">
      <c r="A14" t="inlineStr">
        <is>
          <t xml:space="preserve">miletus</t>
        </is>
      </c>
      <c r="B14" t="inlineStr">
        <is>
          <t xml:space="preserve">mercantile</t>
        </is>
      </c>
      <c r="C14" t="inlineStr">
        <is>
          <t xml:space="preserve">trade</t>
        </is>
      </c>
      <c r="D14" t="inlineStr">
        <is>
          <t xml:space="preserve">yes</t>
        </is>
      </c>
      <c r="E14" t="inlineStr">
        <is>
          <t xml:space="preserve">sacred_water</t>
        </is>
      </c>
      <c r="F14">
        <v>63</v>
      </c>
      <c r="G14">
        <v>47</v>
      </c>
      <c r="H14">
        <v>0</v>
      </c>
      <c r="I14" s="4">
        <f>28+ROUND(F15/2,0)+IF(H15&gt;15,4,0)</f>
        <v>60</v>
      </c>
      <c r="J14">
        <v>116</v>
      </c>
      <c r="K14" t="inlineStr">
        <is>
          <t xml:space="preserve">sacred_water</t>
        </is>
      </c>
      <c r="L14">
        <v>16</v>
      </c>
      <c r="M14">
        <v>8.6</v>
      </c>
    </row>
    <row r="15">
      <c r="A15" t="inlineStr">
        <is>
          <t xml:space="preserve">syracuse</t>
        </is>
      </c>
      <c r="B15" t="inlineStr">
        <is>
          <t xml:space="preserve">martial</t>
        </is>
      </c>
      <c r="C15" t="inlineStr">
        <is>
          <t xml:space="preserve">war</t>
        </is>
      </c>
      <c r="D15" t="inlineStr">
        <is>
          <t xml:space="preserve">yes</t>
        </is>
      </c>
      <c r="E15" t="inlineStr">
        <is>
          <t xml:space="preserve">grain</t>
        </is>
      </c>
      <c r="F15">
        <v>66</v>
      </c>
      <c r="G15">
        <v>46</v>
      </c>
      <c r="H15">
        <v>0</v>
      </c>
      <c r="I15" s="4">
        <f>28+ROUND(F16/2,0)+IF(H16&gt;15,4,0)</f>
        <v>61</v>
      </c>
      <c r="J15">
        <v>112</v>
      </c>
      <c r="K15" t="inlineStr">
        <is>
          <t xml:space="preserve">grain</t>
        </is>
      </c>
      <c r="L15">
        <v>15</v>
      </c>
      <c r="M15">
        <v>9.5</v>
      </c>
    </row>
    <row r="16">
      <c r="A16" t="inlineStr">
        <is>
          <t xml:space="preserve">macedon</t>
        </is>
      </c>
      <c r="B16" t="inlineStr">
        <is>
          <t xml:space="preserve">scheming</t>
        </is>
      </c>
      <c r="C16" t="inlineStr">
        <is>
          <t xml:space="preserve">succession</t>
        </is>
      </c>
      <c r="D16" t="inlineStr">
        <is>
          <t xml:space="preserve">no</t>
        </is>
      </c>
      <c r="E16" t="inlineStr">
        <is>
          <t xml:space="preserve">olive_oil</t>
        </is>
      </c>
      <c r="F16">
        <v>69</v>
      </c>
      <c r="G16">
        <v>45</v>
      </c>
      <c r="H16">
        <v>0</v>
      </c>
      <c r="I16" s="4">
        <f>28+ROUND(F17/2,0)+IF(H17&gt;15,4,0)</f>
        <v>63</v>
      </c>
      <c r="J16">
        <v>114</v>
      </c>
      <c r="K16" t="inlineStr">
        <is>
          <t xml:space="preserve">-</t>
        </is>
      </c>
    </row>
    <row r="17"/>
    <row r="18">
      <c r="A18" t="inlineStr" s="1">
        <is>
          <t xml:space="preserve">Rule</t>
        </is>
      </c>
      <c r="B18" t="inlineStr" s="1">
        <is>
          <t xml:space="preserve">Current</t>
        </is>
      </c>
      <c r="C18" t="inlineStr" s="1">
        <is>
          <t xml:space="preserve">Target</t>
        </is>
      </c>
      <c r="D18" t="inlineStr" s="1">
        <is>
          <t xml:space="preserve">Source</t>
        </is>
      </c>
    </row>
    <row r="19">
      <c r="A19" t="inlineStr">
        <is>
          <t xml:space="preserve">Strong delivery</t>
        </is>
      </c>
      <c r="B19" t="inlineStr">
        <is>
          <t xml:space="preserve">+8 credibility if value &gt;= 60 and risk &lt; 75; faction favour +4 if value &gt; 55</t>
        </is>
      </c>
      <c r="C19" t="inlineStr">
        <is>
          <t xml:space="preserve">Keep the best case in the +6 to +8 range so one success matters but does not trivialize faction politics.</t>
        </is>
      </c>
      <c r="D19" t="inlineStr">
        <is>
          <t xml:space="preserve">packages/core/src/reducers/index.ts</t>
        </is>
      </c>
    </row>
    <row r="20">
      <c r="A20" t="inlineStr">
        <is>
          <t xml:space="preserve">Guarded delivery</t>
        </is>
      </c>
      <c r="B20" t="inlineStr">
        <is>
          <t xml:space="preserve">+3 credibility otherwise; low-value answers can still lose 2 favour</t>
        </is>
      </c>
      <c r="C20" t="inlineStr">
        <is>
          <t xml:space="preserve">Neutral answers should remain in the +2 to +3 band and avoid becoming the dominant gold source by themselves.</t>
        </is>
      </c>
      <c r="D20" t="inlineStr">
        <is>
          <t xml:space="preserve">packages/core/src/reducers/index.ts</t>
        </is>
      </c>
    </row>
    <row r="21">
      <c r="A21" t="inlineStr">
        <is>
          <t xml:space="preserve">Risky miss</t>
        </is>
      </c>
      <c r="B21" t="inlineStr">
        <is>
          <t xml:space="preserve">-6 credibility if risk &gt;= 85 on delivery</t>
        </is>
      </c>
      <c r="C21" t="inlineStr">
        <is>
          <t xml:space="preserve">Preserve a real downside at -5 to -6; this is the main brake on exact prophecies.</t>
        </is>
      </c>
      <c r="D21" t="inlineStr">
        <is>
          <t xml:space="preserve">packages/core/src/reducers/index.ts</t>
        </is>
      </c>
    </row>
    <row r="22">
      <c r="A22" t="inlineStr">
        <is>
          <t xml:space="preserve">Consequence resolution</t>
        </is>
      </c>
      <c r="B22" t="inlineStr">
        <is>
          <t xml:space="preserve">Resolution delta ranges from -18 to +18 with a 20-day delay</t>
        </is>
      </c>
      <c r="C22" t="inlineStr">
        <is>
          <t xml:space="preserve">Compress routine outcomes toward -12 to +14 while leaving room for rare outliers.</t>
        </is>
      </c>
      <c r="D22" t="inlineStr">
        <is>
          <t xml:space="preserve">packages/core/src/simulation/events.ts</t>
        </is>
      </c>
    </row>
    <row r="23">
      <c r="A23" t="inlineStr">
        <is>
          <t xml:space="preserve">Observer reactions</t>
        </is>
      </c>
      <c r="B23" t="inlineStr">
        <is>
          <t xml:space="preserve">Only the top 3 reacting factions are applied on delivery / resolution</t>
        </is>
      </c>
      <c r="C23" t="inlineStr">
        <is>
          <t xml:space="preserve">Keep the cap at 3 to preserve readability as more factions and crises land.</t>
        </is>
      </c>
      <c r="D23" t="inlineStr">
        <is>
          <t xml:space="preserve">packages/core/src/simulation/events.ts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>
      <pane ySplit="1" topLeftCell="A2" activePane="bottomLeft" state="frozen"/>
    </sheetView>
  </sheetViews>
  <sheetFormatPr defaultRowHeight="15"/>
  <cols>
    <col min="1" max="1" width="28" customWidth="1"/>
    <col min="2" max="2" width="14" customWidth="1"/>
    <col min="3" max="3" width="14" customWidth="1"/>
    <col min="4" max="4" width="14" customWidth="1"/>
    <col min="5" max="5" width="64" customWidth="1"/>
  </cols>
  <sheetData>
    <row r="1">
      <c r="A1" t="inlineStr" s="1">
        <is>
          <t xml:space="preserve">Metric</t>
        </is>
      </c>
      <c r="B1" t="inlineStr" s="1">
        <is>
          <t xml:space="preserve">Current</t>
        </is>
      </c>
      <c r="C1" t="inlineStr" s="1">
        <is>
          <t xml:space="preserve">Target</t>
        </is>
      </c>
      <c r="D1" t="inlineStr" s="1">
        <is>
          <t xml:space="preserve">Unit</t>
        </is>
      </c>
      <c r="E1" t="inlineStr" s="1">
        <is>
          <t xml:space="preserve">Notes</t>
        </is>
      </c>
    </row>
    <row r="2">
      <c r="A2" t="inlineStr">
        <is>
          <t xml:space="preserve">attunement</t>
        </is>
      </c>
      <c r="B2">
        <v>68</v>
      </c>
      <c r="C2">
        <v>68</v>
      </c>
      <c r="D2" t="inlineStr">
        <is>
          <t xml:space="preserve">score</t>
        </is>
      </c>
      <c r="E2" t="inlineStr">
        <is>
          <t xml:space="preserve">Starter Pythia baseline in initialState.</t>
        </is>
      </c>
    </row>
    <row r="3">
      <c r="A3" t="inlineStr">
        <is>
          <t xml:space="preserve">mental_clarity</t>
        </is>
      </c>
      <c r="B3">
        <v>71</v>
      </c>
      <c r="C3">
        <v>75</v>
      </c>
      <c r="D3" t="inlineStr">
        <is>
          <t xml:space="preserve">score</t>
        </is>
      </c>
      <c r="E3" t="inlineStr">
        <is>
          <t xml:space="preserve">Slightly higher target gives more room before chaining rest actions.</t>
        </is>
      </c>
    </row>
    <row r="4">
      <c r="A4" t="inlineStr">
        <is>
          <t xml:space="preserve">rest_need_start</t>
        </is>
      </c>
      <c r="B4">
        <v>22</v>
      </c>
      <c r="C4">
        <v>22</v>
      </c>
      <c r="D4" t="inlineStr">
        <is>
          <t xml:space="preserve">need</t>
        </is>
      </c>
      <c r="E4" t="inlineStr">
        <is>
          <t xml:space="preserve">Initial state baseline.</t>
        </is>
      </c>
    </row>
    <row r="5">
      <c r="A5" t="inlineStr">
        <is>
          <t xml:space="preserve">purification_need_start</t>
        </is>
      </c>
      <c r="B5">
        <v>36</v>
      </c>
      <c r="C5">
        <v>36</v>
      </c>
      <c r="D5" t="inlineStr">
        <is>
          <t xml:space="preserve">need</t>
        </is>
      </c>
      <c r="E5" t="inlineStr">
        <is>
          <t xml:space="preserve">Initial state baseline.</t>
        </is>
      </c>
    </row>
    <row r="6">
      <c r="A6" t="inlineStr">
        <is>
          <t xml:space="preserve">idle_rest_gain_per_day</t>
        </is>
      </c>
      <c r="B6">
        <v>9.0</v>
      </c>
      <c r="C6">
        <v>4.5</v>
      </c>
      <c r="D6" t="inlineStr">
        <is>
          <t xml:space="preserve">need/day</t>
        </is>
      </c>
      <c r="E6" t="inlineStr">
        <is>
          <t xml:space="preserve">Current value reaches the warning band too quickly between 15-day consultations.</t>
        </is>
      </c>
    </row>
    <row r="7">
      <c r="A7" t="inlineStr">
        <is>
          <t xml:space="preserve">open_rest_gain_per_day</t>
        </is>
      </c>
      <c r="B7">
        <v>48.0</v>
      </c>
      <c r="C7">
        <v>18.0</v>
      </c>
      <c r="D7" t="inlineStr">
        <is>
          <t xml:space="preserve">need/day</t>
        </is>
      </c>
      <c r="E7" t="inlineStr">
        <is>
          <t xml:space="preserve">Only applies if the game keeps ticking while a consultation is open.</t>
        </is>
      </c>
    </row>
    <row r="8">
      <c r="A8" t="inlineStr">
        <is>
          <t xml:space="preserve">purification_gain_per_day</t>
        </is>
      </c>
      <c r="B8">
        <v>12.0</v>
      </c>
      <c r="C8">
        <v>6.0</v>
      </c>
      <c r="D8" t="inlineStr">
        <is>
          <t xml:space="preserve">need/day</t>
        </is>
      </c>
      <c r="E8" t="inlineStr">
        <is>
          <t xml:space="preserve">Current pacing hits the 68 warning band in under 3 idle days.</t>
        </is>
      </c>
    </row>
    <row r="9">
      <c r="A9" t="inlineStr">
        <is>
          <t xml:space="preserve">delivery_rest_delta</t>
        </is>
      </c>
      <c r="B9">
        <v>18</v>
      </c>
      <c r="C9">
        <v>12</v>
      </c>
      <c r="D9" t="inlineStr">
        <is>
          <t xml:space="preserve">need</t>
        </is>
      </c>
      <c r="E9" t="inlineStr">
        <is>
          <t xml:space="preserve">Delivery currently spikes rest need immediately.</t>
        </is>
      </c>
    </row>
    <row r="10">
      <c r="A10" t="inlineStr">
        <is>
          <t xml:space="preserve">delivery_purification_delta</t>
        </is>
      </c>
      <c r="B10">
        <v>-18</v>
      </c>
      <c r="C10">
        <v>-18</v>
      </c>
      <c r="D10" t="inlineStr">
        <is>
          <t xml:space="preserve">need</t>
        </is>
      </c>
      <c r="E10" t="inlineStr">
        <is>
          <t xml:space="preserve">Current delivery does at least clear some purification pressure.</t>
        </is>
      </c>
    </row>
    <row r="11">
      <c r="A11" t="inlineStr">
        <is>
          <t xml:space="preserve">rest_command_relief</t>
        </is>
      </c>
      <c r="B11">
        <v>-24</v>
      </c>
      <c r="C11">
        <v>-30</v>
      </c>
      <c r="D11" t="inlineStr">
        <is>
          <t xml:space="preserve">need</t>
        </is>
      </c>
      <c r="E11" t="inlineStr">
        <is>
          <t xml:space="preserve">Target relief makes a rest action worth roughly a week of idle gain.</t>
        </is>
      </c>
    </row>
    <row r="12">
      <c r="A12" t="inlineStr">
        <is>
          <t xml:space="preserve">purify_command_relief</t>
        </is>
      </c>
      <c r="B12">
        <v>-28</v>
      </c>
      <c r="C12">
        <v>-36</v>
      </c>
      <c r="D12" t="inlineStr">
        <is>
          <t xml:space="preserve">need</t>
        </is>
      </c>
      <c r="E12" t="inlineStr">
        <is>
          <t xml:space="preserve">Pairs better with 2 water / 1 incense if generic logistics expands.</t>
        </is>
      </c>
    </row>
    <row r="13">
      <c r="A13" t="inlineStr">
        <is>
          <t xml:space="preserve">purify_water_cost</t>
        </is>
      </c>
      <c r="B13">
        <v>2</v>
      </c>
      <c r="C13">
        <v>2</v>
      </c>
      <c r="D13" t="inlineStr">
        <is>
          <t xml:space="preserve">sacred_water</t>
        </is>
      </c>
      <c r="E13" t="inlineStr">
        <is>
          <t xml:space="preserve">No change recommended.</t>
        </is>
      </c>
    </row>
    <row r="14">
      <c r="A14" t="inlineStr">
        <is>
          <t xml:space="preserve">purify_incense_cost</t>
        </is>
      </c>
      <c r="B14">
        <v>1</v>
      </c>
      <c r="C14">
        <v>1</v>
      </c>
      <c r="D14" t="inlineStr">
        <is>
          <t xml:space="preserve">incense</t>
        </is>
      </c>
      <c r="E14" t="inlineStr">
        <is>
          <t xml:space="preserve">No change recommended.</t>
        </is>
      </c>
    </row>
    <row r="15">
      <c r="A15" t="inlineStr">
        <is>
          <t xml:space="preserve">rest_warn_threshold</t>
        </is>
      </c>
      <c r="B15">
        <v>70</v>
      </c>
      <c r="C15">
        <v>70</v>
      </c>
      <c r="D15" t="inlineStr">
        <is>
          <t xml:space="preserve">need</t>
        </is>
      </c>
      <c r="E15" t="inlineStr">
        <is>
          <t xml:space="preserve">Advisor message threshold.</t>
        </is>
      </c>
    </row>
    <row r="16">
      <c r="A16" t="inlineStr">
        <is>
          <t xml:space="preserve">days_to_rest_warn_from_start</t>
        </is>
      </c>
      <c r="B16" s="5">
        <f>(B15-B4)/B8</f>
        <v>5.3</v>
      </c>
      <c r="C16" s="5">
        <f>(C15-C4)/C8</f>
        <v>10.7</v>
      </c>
      <c r="D16" t="inlineStr">
        <is>
          <t xml:space="preserve">days</t>
        </is>
      </c>
      <c r="E16" t="inlineStr">
        <is>
          <t xml:space="preserve">Assumes idle pacing.</t>
        </is>
      </c>
    </row>
    <row r="17">
      <c r="A17" t="inlineStr">
        <is>
          <t xml:space="preserve">days_to_purification_warn_from_start</t>
        </is>
      </c>
      <c r="B17" s="5">
        <f>(B16-B5)/B9</f>
        <v>2.7</v>
      </c>
      <c r="C17" s="5">
        <f>(C16-C5)/C9</f>
        <v>5.3</v>
      </c>
      <c r="D17" t="inlineStr">
        <is>
          <t xml:space="preserve">days</t>
        </is>
      </c>
      <c r="E17" t="inlineStr">
        <is>
          <t xml:space="preserve">Assumes idle pacing.</t>
        </is>
      </c>
    </row>
    <row r="18">
      <c r="A18" t="inlineStr">
        <is>
          <t xml:space="preserve">consultation_cadence</t>
        </is>
      </c>
      <c r="B18">
        <v>15</v>
      </c>
      <c r="C18">
        <v>15</v>
      </c>
      <c r="D18" t="inlineStr">
        <is>
          <t xml:space="preserve">days</t>
        </is>
      </c>
      <c r="E18" t="inlineStr">
        <is>
          <t xml:space="preserve">Consultations appear every 15 days starting on day 15 when idle.</t>
        </is>
      </c>
    </row>
    <row r="19">
      <c r="A19" t="inlineStr">
        <is>
          <t xml:space="preserve">consequence_delay</t>
        </is>
      </c>
      <c r="B19">
        <v>20</v>
      </c>
      <c r="C19">
        <v>20</v>
      </c>
      <c r="D19" t="inlineStr">
        <is>
          <t xml:space="preserve">days</t>
        </is>
      </c>
      <c r="E19" t="inlineStr">
        <is>
          <t xml:space="preserve">Prophecy consequences currently resolve 20 days later.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8" customWidth="1"/>
    <col min="3" max="3" width="16" customWidth="1"/>
    <col min="4" max="4" width="18" customWidth="1"/>
    <col min="5" max="5" width="18" customWidth="1"/>
    <col min="6" max="6" width="18" customWidth="1"/>
    <col min="7" max="7" width="42" customWidth="1"/>
    <col min="8" max="8" width="12" customWidth="1"/>
    <col min="9" max="9" width="16" customWidth="1"/>
  </cols>
  <sheetData>
    <row r="1">
      <c r="A1" t="inlineStr" s="1">
        <is>
          <t xml:space="preserve">Tier</t>
        </is>
      </c>
      <c r="B1" t="inlineStr" s="1">
        <is>
          <t xml:space="preserve">Renown Threshold</t>
        </is>
      </c>
      <c r="C1" t="inlineStr" s="1">
        <is>
          <t xml:space="preserve">Avg Cred Floor</t>
        </is>
      </c>
      <c r="D1" t="inlineStr" s="1">
        <is>
          <t xml:space="preserve">Consults Delivered</t>
        </is>
      </c>
      <c r="E1" t="inlineStr" s="1">
        <is>
          <t xml:space="preserve">Distinct Factions</t>
        </is>
      </c>
      <c r="F1" t="inlineStr" s="1">
        <is>
          <t xml:space="preserve">Buildings Online</t>
        </is>
      </c>
      <c r="G1" t="inlineStr" s="1">
        <is>
          <t xml:space="preserve">Unlocks</t>
        </is>
      </c>
      <c r="H1" t="inlineStr" s="1">
        <is>
          <t xml:space="preserve">Target Day</t>
        </is>
      </c>
      <c r="I1" t="inlineStr" s="1">
        <is>
          <t xml:space="preserve">Implemented Now</t>
        </is>
      </c>
    </row>
    <row r="2">
      <c r="A2" t="inlineStr">
        <is>
          <t xml:space="preserve">Foundation</t>
        </is>
      </c>
      <c r="B2">
        <v>0</v>
      </c>
      <c r="C2">
        <v>0</v>
      </c>
      <c r="D2">
        <v>0</v>
      </c>
      <c r="E2">
        <v>0</v>
      </c>
      <c r="F2">
        <v>0</v>
      </c>
      <c r="G2" t="inlineStr">
        <is>
          <t xml:space="preserve">Current vertical slice / starter tools</t>
        </is>
      </c>
      <c r="H2">
        <v>1</v>
      </c>
      <c r="I2" t="inlineStr">
        <is>
          <t xml:space="preserve">n/a</t>
        </is>
      </c>
    </row>
    <row r="3">
      <c r="A3" t="inlineStr">
        <is>
          <t xml:space="preserve">Regional Notice</t>
        </is>
      </c>
      <c r="B3">
        <v>20</v>
      </c>
      <c r="C3">
        <v>55</v>
      </c>
      <c r="D3">
        <v>1</v>
      </c>
      <c r="E3">
        <v>1</v>
      </c>
      <c r="F3">
        <v>3</v>
      </c>
      <c r="G3" t="inlineStr">
        <is>
          <t xml:space="preserve">Granary, Kitchen, first tier banner / tutorial off-ramp</t>
        </is>
      </c>
      <c r="H3">
        <v>20</v>
      </c>
      <c r="I3" t="inlineStr">
        <is>
          <t xml:space="preserve">no</t>
        </is>
      </c>
    </row>
    <row r="4">
      <c r="A4" t="inlineStr">
        <is>
          <t xml:space="preserve">Hellenic Whisper</t>
        </is>
      </c>
      <c r="B4">
        <v>55</v>
      </c>
      <c r="C4">
        <v>60</v>
      </c>
      <c r="D4">
        <v>3</v>
      </c>
      <c r="E4">
        <v>3</v>
      </c>
      <c r="F4">
        <v>6</v>
      </c>
      <c r="G4" t="inlineStr">
        <is>
          <t xml:space="preserve">Animal Pen, Sacrificial Altar, Olive Press</t>
        </is>
      </c>
      <c r="H4">
        <v>45</v>
      </c>
      <c r="I4" t="inlineStr">
        <is>
          <t xml:space="preserve">no</t>
        </is>
      </c>
    </row>
    <row r="5">
      <c r="A5" t="inlineStr">
        <is>
          <t xml:space="preserve">Sacred Authority</t>
        </is>
      </c>
      <c r="B5">
        <v>85</v>
      </c>
      <c r="C5">
        <v>62</v>
      </c>
      <c r="D5">
        <v>4</v>
      </c>
      <c r="E5">
        <v>5</v>
      </c>
      <c r="F5">
        <v>8</v>
      </c>
      <c r="G5" t="inlineStr">
        <is>
          <t xml:space="preserve">First crisis chain, Agora Market, Xenon</t>
        </is>
      </c>
      <c r="H5">
        <v>75</v>
      </c>
      <c r="I5" t="inlineStr">
        <is>
          <t xml:space="preserve">no</t>
        </is>
      </c>
    </row>
    <row r="6">
      <c r="A6" t="inlineStr">
        <is>
          <t xml:space="preserve">Panhellenic Seat</t>
        </is>
      </c>
      <c r="B6">
        <v>110</v>
      </c>
      <c r="C6">
        <v>65</v>
      </c>
      <c r="D6">
        <v>6</v>
      </c>
      <c r="E6">
        <v>6</v>
      </c>
      <c r="F6">
        <v>10</v>
      </c>
      <c r="G6" t="inlineStr">
        <is>
          <t xml:space="preserve">Phase-1 Rising Oracle completion gate / world-map escalation</t>
        </is>
      </c>
      <c r="H6">
        <v>90</v>
      </c>
      <c r="I6" t="inlineStr">
        <is>
          <t xml:space="preserve">no</t>
        </is>
      </c>
    </row>
    <row r="7"/>
    <row r="8">
      <c r="A8" t="inlineStr" s="1">
        <is>
          <t xml:space="preserve">Milestone</t>
        </is>
      </c>
      <c r="B8" t="inlineStr" s="1">
        <is>
          <t xml:space="preserve">Gate</t>
        </is>
      </c>
      <c r="C8" t="inlineStr" s="1">
        <is>
          <t xml:space="preserve">Target Day</t>
        </is>
      </c>
      <c r="D8" t="inlineStr" s="1">
        <is>
          <t xml:space="preserve">Implemented Now</t>
        </is>
      </c>
    </row>
    <row r="9">
      <c r="A9" t="inlineStr">
        <is>
          <t xml:space="preserve">First tier unlock</t>
        </is>
      </c>
      <c r="B9" t="inlineStr">
        <is>
          <t xml:space="preserve">renown &gt;= 20, avg credibility &gt;= 55, 3 buildings online</t>
        </is>
      </c>
      <c r="C9">
        <v>20</v>
      </c>
      <c r="D9" t="inlineStr">
        <is>
          <t xml:space="preserve">no</t>
        </is>
      </c>
    </row>
    <row r="10">
      <c r="A10" t="inlineStr">
        <is>
          <t xml:space="preserve">First treasury dedication</t>
        </is>
      </c>
      <c r="B10" t="inlineStr">
        <is>
          <t xml:space="preserve">renown &gt;= 45, liquid gold &gt;= 180, precinct health &gt;= 90</t>
        </is>
      </c>
      <c r="C10">
        <v>60</v>
      </c>
      <c r="D10" t="inlineStr">
        <is>
          <t xml:space="preserve">no</t>
        </is>
      </c>
    </row>
    <row r="11">
      <c r="A11" t="inlineStr">
        <is>
          <t xml:space="preserve">First crisis chain</t>
        </is>
      </c>
      <c r="B11" t="inlineStr">
        <is>
          <t xml:space="preserve">renown &gt;= 85, 5 factions consulted, avg credibility &gt;= 62</t>
        </is>
      </c>
      <c r="C11">
        <v>75</v>
      </c>
      <c r="D11" t="inlineStr">
        <is>
          <t xml:space="preserve">no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24" customWidth="1"/>
    <col min="3" max="3" width="22" customWidth="1"/>
    <col min="4" max="4" width="20" customWidth="1"/>
    <col min="5" max="5" width="22" customWidth="1"/>
    <col min="6" max="6" width="16" customWidth="1"/>
    <col min="7" max="7" width="16" customWidth="1"/>
    <col min="8" max="8" width="42" customWidth="1"/>
    <col min="9" max="9" width="52" customWidth="1"/>
  </cols>
  <sheetData>
    <row r="1">
      <c r="A1" t="inlineStr" s="1">
        <is>
          <t xml:space="preserve">Day</t>
        </is>
      </c>
      <c r="B1" t="inlineStr" s="1">
        <is>
          <t xml:space="preserve">Phase</t>
        </is>
      </c>
      <c r="C1" t="inlineStr" s="1">
        <is>
          <t xml:space="preserve">Cumulative Consultations</t>
        </is>
      </c>
      <c r="D1" t="inlineStr" s="1">
        <is>
          <t xml:space="preserve">Expected Liquid Gold</t>
        </is>
      </c>
      <c r="E1" t="inlineStr" s="1">
        <is>
          <t xml:space="preserve">Planned Spend To Date</t>
        </is>
      </c>
      <c r="F1" t="inlineStr" s="1">
        <is>
          <t xml:space="preserve">Buildings Online</t>
        </is>
      </c>
      <c r="G1" t="inlineStr" s="1">
        <is>
          <t xml:space="preserve">Avg Credibility</t>
        </is>
      </c>
      <c r="H1" t="inlineStr" s="1">
        <is>
          <t xml:space="preserve">Checkpoint</t>
        </is>
      </c>
      <c r="I1" t="inlineStr" s="1">
        <is>
          <t xml:space="preserve">Notes</t>
        </is>
      </c>
    </row>
    <row r="2">
      <c r="A2">
        <v>1</v>
      </c>
      <c r="B2" t="inlineStr">
        <is>
          <t xml:space="preserve">Foundation</t>
        </is>
      </c>
      <c r="C2" s="4">
        <f>INT(A2/15)</f>
        <v>0</v>
      </c>
      <c r="D2">
        <v>120</v>
      </c>
      <c r="E2">
        <v>0</v>
      </c>
      <c r="F2">
        <v>0</v>
      </c>
      <c r="G2">
        <v>58.5</v>
      </c>
      <c r="H2" t="inlineStr">
        <is>
          <t xml:space="preserve">Open with base reserves and no precinct footprint yet.</t>
        </is>
      </c>
      <c r="I2" t="inlineStr">
        <is>
          <t xml:space="preserve">Gross gold excludes any future donation systems.</t>
        </is>
      </c>
    </row>
    <row r="3">
      <c r="A3">
        <v>15</v>
      </c>
      <c r="B3" t="inlineStr">
        <is>
          <t xml:space="preserve">First consultation delivered</t>
        </is>
      </c>
      <c r="C3" s="4">
        <f>INT(A3/15)</f>
        <v>1</v>
      </c>
      <c r="D3">
        <v>112</v>
      </c>
      <c r="E3">
        <v>66</v>
      </c>
      <c r="F3">
        <v>3</v>
      </c>
      <c r="G3">
        <v>60</v>
      </c>
      <c r="H3" t="inlineStr">
        <is>
          <t xml:space="preserve">Sacred Way + Priest Quarters + Storehouse + Spring should be online before the first envoy.</t>
        </is>
      </c>
      <c r="I3" t="inlineStr">
        <is>
          <t xml:space="preserve">120 start + ~58 consultation payment - 66 spend.</t>
        </is>
      </c>
    </row>
    <row r="4">
      <c r="A4">
        <v>20</v>
      </c>
      <c r="B4" t="inlineStr">
        <is>
          <t xml:space="preserve">First tier unlock</t>
        </is>
      </c>
      <c r="C4" s="4">
        <f>INT(A4/15)</f>
        <v>1</v>
      </c>
      <c r="D4">
        <v>96</v>
      </c>
      <c r="E4">
        <v>82</v>
      </c>
      <c r="F4">
        <v>4</v>
      </c>
      <c r="G4">
        <v>60</v>
      </c>
      <c r="H4" t="inlineStr">
        <is>
          <t xml:space="preserve">Regional Notice tier should unlock here if the first reading is not a disaster.</t>
        </is>
      </c>
      <c r="I4" t="inlineStr">
        <is>
          <t xml:space="preserve">Adds the brazier while keeping a workable reserve.</t>
        </is>
      </c>
    </row>
    <row r="5">
      <c r="A5">
        <v>30</v>
      </c>
      <c r="B5" t="inlineStr">
        <is>
          <t xml:space="preserve">First monthly trade window</t>
        </is>
      </c>
      <c r="C5" s="4">
        <f>INT(A5/15)</f>
        <v>2</v>
      </c>
      <c r="D5">
        <v>150</v>
      </c>
      <c r="E5">
        <v>85</v>
      </c>
      <c r="F5">
        <v>4</v>
      </c>
      <c r="G5">
        <v>61</v>
      </c>
      <c r="H5" t="inlineStr">
        <is>
          <t xml:space="preserve">First caravan offers and the second consultation should overlap.</t>
        </is>
      </c>
      <c r="I5" t="inlineStr">
        <is>
          <t xml:space="preserve">Month-turn trade offers are the first external economy beat.</t>
        </is>
      </c>
    </row>
    <row r="6">
      <c r="A6">
        <v>35</v>
      </c>
      <c r="B6" t="inlineStr">
        <is>
          <t xml:space="preserve">First prophecy resolution</t>
        </is>
      </c>
      <c r="C6" s="4">
        <f>INT(A6/15)</f>
        <v>2</v>
      </c>
      <c r="D6">
        <v>150</v>
      </c>
      <c r="E6">
        <v>85</v>
      </c>
      <c r="F6">
        <v>4</v>
      </c>
      <c r="G6">
        <v>61</v>
      </c>
      <c r="H6" t="inlineStr">
        <is>
          <t xml:space="preserve">The first 20-day consequence resolves five days after the second consultation opens.</t>
        </is>
      </c>
      <c r="I6" t="inlineStr">
        <is>
          <t xml:space="preserve">This is where the campaign should start feeling reactive.</t>
        </is>
      </c>
    </row>
    <row r="7">
      <c r="A7">
        <v>45</v>
      </c>
      <c r="B7" t="inlineStr">
        <is>
          <t xml:space="preserve">Second expansion beat</t>
        </is>
      </c>
      <c r="C7" s="4">
        <f>INT(A7/15)</f>
        <v>3</v>
      </c>
      <c r="D7">
        <v>169</v>
      </c>
      <c r="E7">
        <v>124</v>
      </c>
      <c r="F7">
        <v>5</v>
      </c>
      <c r="G7">
        <v>62</v>
      </c>
      <c r="H7" t="inlineStr">
        <is>
          <t xml:space="preserve">Inner Sanctum online, purification loop stabilized, third consultation delivered.</t>
        </is>
      </c>
      <c r="I7" t="inlineStr">
        <is>
          <t xml:space="preserve">Gross gold 120 + 3 * 57.5 = 292.5 before spend.</t>
        </is>
      </c>
    </row>
    <row r="8">
      <c r="A8">
        <v>60</v>
      </c>
      <c r="B8" t="inlineStr">
        <is>
          <t xml:space="preserve">First treasury dedication</t>
        </is>
      </c>
      <c r="C8" s="4">
        <f>INT(A8/15)</f>
        <v>4</v>
      </c>
      <c r="D8">
        <v>190</v>
      </c>
      <c r="E8">
        <v>160</v>
      </c>
      <c r="F8">
        <v>6</v>
      </c>
      <c r="G8">
        <v>63</v>
      </c>
      <c r="H8" t="inlineStr">
        <is>
          <t xml:space="preserve">Treasury dedication should be affordable without stalling the precinct build-out.</t>
        </is>
      </c>
      <c r="I8" t="inlineStr">
        <is>
          <t xml:space="preserve">Reserve target stays conservative because market/donation income is not modeled.</t>
        </is>
      </c>
    </row>
    <row r="9">
      <c r="A9">
        <v>75</v>
      </c>
      <c r="B9" t="inlineStr">
        <is>
          <t xml:space="preserve">First crisis chain</t>
        </is>
      </c>
      <c r="C9" s="4">
        <f>INT(A9/15)</f>
        <v>5</v>
      </c>
      <c r="D9">
        <v>208</v>
      </c>
      <c r="E9">
        <v>200</v>
      </c>
      <c r="F9">
        <v>8</v>
      </c>
      <c r="G9">
        <v>64</v>
      </c>
      <c r="H9" t="inlineStr">
        <is>
          <t xml:space="preserve">World-map pressure and first crisis chain should arrive once multiple factions have history with Delphi.</t>
        </is>
      </c>
      <c r="I9" t="inlineStr">
        <is>
          <t xml:space="preserve">Uses the proposed Sacred Authority tier as the trigger band.</t>
        </is>
      </c>
    </row>
    <row r="10">
      <c r="A10">
        <v>90</v>
      </c>
      <c r="B10" t="inlineStr">
        <is>
          <t xml:space="preserve">Phase-1 complete</t>
        </is>
      </c>
      <c r="C10" s="4">
        <f>INT(A10/15)</f>
        <v>6</v>
      </c>
      <c r="D10">
        <v>245</v>
      </c>
      <c r="E10">
        <v>220</v>
      </c>
      <c r="F10">
        <v>10</v>
      </c>
      <c r="G10">
        <v>65</v>
      </c>
      <c r="H10" t="inlineStr">
        <is>
          <t xml:space="preserve">By day 90 the precinct should support 2 real supply chains and a stable consultation loop.</t>
        </is>
      </c>
      <c r="I10" t="inlineStr">
        <is>
          <t xml:space="preserve">Gross gold target is ~465 before planned spend.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Sources</vt:lpstr>
      <vt:lpstr>Buildings</vt:lpstr>
      <vt:lpstr>Resource Rates</vt:lpstr>
      <vt:lpstr>Envoys</vt:lpstr>
      <vt:lpstr>Pythia</vt:lpstr>
      <vt:lpstr>Reputation</vt:lpstr>
      <vt:lpstr>Rising Oracle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2026-03-06T17:21:11Z</dcterms:created>
  <dcterms:modified xsi:type="dcterms:W3CDTF">2026-03-06T17:21:11Z</dcterms:modified>
  <dc:title>The Oracle Balance Workbook</dc:title>
</cp:coreProperties>
</file>